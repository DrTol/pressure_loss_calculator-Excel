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30" windowWidth="22995" windowHeight="10050"/>
  </bookViews>
  <sheets>
    <sheet name="PressureLossCalculator" sheetId="3" r:id="rId1"/>
    <sheet name="DarcyFrictionAlgorithms" sheetId="1" r:id="rId2"/>
    <sheet name="Converter_f2C" sheetId="4" r:id="rId3"/>
    <sheet name="Converter_Roughness" sheetId="7" r:id="rId4"/>
    <sheet name="zPipeCatalogue" sheetId="2" r:id="rId5"/>
    <sheet name="zDiskinData" sheetId="5" r:id="rId6"/>
  </sheets>
  <functionGroups builtInGroupCount="17"/>
  <definedNames>
    <definedName name="C_Data">zDiskinData!$B$3:$B$16</definedName>
    <definedName name="Cmod_Data">zDiskinData!$E$3:$E$16</definedName>
    <definedName name="maxRe_Data">zDiskinData!$D$3:$D$16</definedName>
    <definedName name="minRe_Data">zDiskinData!$C$3:$C$16</definedName>
    <definedName name="rRou_Data">zDiskinData!$A$3:$A$16</definedName>
  </definedNames>
  <calcPr calcId="144525"/>
</workbook>
</file>

<file path=xl/calcChain.xml><?xml version="1.0" encoding="utf-8"?>
<calcChain xmlns="http://schemas.openxmlformats.org/spreadsheetml/2006/main">
  <c r="G5" i="3" l="1"/>
  <c r="G4" i="3"/>
  <c r="H7" i="7"/>
  <c r="H3" i="4"/>
  <c r="H6" i="4"/>
  <c r="F6" i="1"/>
  <c r="F5" i="1"/>
  <c r="F4" i="1"/>
  <c r="H3" i="7"/>
  <c r="B6" i="3" l="1"/>
  <c r="B17" i="3" s="1"/>
  <c r="F13" i="5"/>
  <c r="F12" i="5"/>
  <c r="B14" i="4"/>
  <c r="F9" i="5"/>
  <c r="F11" i="5"/>
  <c r="F7" i="5"/>
  <c r="B16" i="3"/>
  <c r="G6" i="3"/>
  <c r="B15" i="7"/>
  <c r="G14" i="3"/>
  <c r="F10" i="5"/>
  <c r="F16" i="5"/>
  <c r="B23" i="3"/>
  <c r="F5" i="5"/>
  <c r="F6" i="5"/>
  <c r="F8" i="5"/>
  <c r="F4" i="5"/>
  <c r="G8" i="3"/>
  <c r="G9" i="3"/>
  <c r="F15" i="5"/>
  <c r="G7" i="3"/>
  <c r="F3" i="5"/>
  <c r="F14" i="5"/>
  <c r="B15" i="1"/>
  <c r="F7" i="1"/>
  <c r="F8" i="1"/>
  <c r="F10" i="1"/>
  <c r="F9" i="1"/>
  <c r="F3" i="7" l="1"/>
  <c r="B5" i="7"/>
  <c r="E16" i="5"/>
  <c r="E15" i="5"/>
  <c r="E14" i="5"/>
  <c r="E13" i="5"/>
  <c r="E12" i="5"/>
  <c r="E11" i="5"/>
  <c r="E10" i="5"/>
  <c r="E9" i="5"/>
  <c r="E8" i="5"/>
  <c r="E7" i="5"/>
  <c r="E6" i="5"/>
  <c r="E5" i="5"/>
  <c r="E4" i="5"/>
  <c r="E3" i="5"/>
  <c r="B18" i="3"/>
  <c r="F7" i="7" l="1"/>
  <c r="E4" i="2"/>
  <c r="E5" i="2"/>
  <c r="E6" i="2"/>
  <c r="E7" i="2"/>
  <c r="E8" i="2"/>
  <c r="E9" i="2"/>
  <c r="E10" i="2"/>
  <c r="E11" i="2"/>
  <c r="E12" i="2"/>
  <c r="E13" i="2"/>
  <c r="E14" i="2"/>
  <c r="B5" i="1"/>
  <c r="B24" i="3"/>
</calcChain>
</file>

<file path=xl/comments1.xml><?xml version="1.0" encoding="utf-8"?>
<comments xmlns="http://schemas.openxmlformats.org/spreadsheetml/2006/main">
  <authors>
    <author>WorldsInWorld</author>
  </authors>
  <commentList>
    <comment ref="E2" authorId="0">
      <text>
        <r>
          <rPr>
            <b/>
            <sz val="9"/>
            <color indexed="81"/>
            <rFont val="Tahoma"/>
            <family val="2"/>
          </rPr>
          <t>WorldsInWorld:</t>
        </r>
        <r>
          <rPr>
            <sz val="9"/>
            <color indexed="81"/>
            <rFont val="Tahoma"/>
            <family val="2"/>
          </rPr>
          <t xml:space="preserve">
Calculated by means of regression equation obtained as based on the raw data.
Required because of reverse interpolation from C to rRou. Values of C as constant with changing rRou mislead the interpolation algorithm so C modified provides reasonably correct return for the rRou instead of C itself.</t>
        </r>
      </text>
    </comment>
  </commentList>
</comments>
</file>

<file path=xl/sharedStrings.xml><?xml version="1.0" encoding="utf-8"?>
<sst xmlns="http://schemas.openxmlformats.org/spreadsheetml/2006/main" count="243" uniqueCount="82">
  <si>
    <t>Absolute Roughness</t>
  </si>
  <si>
    <t>FrictionFactor</t>
  </si>
  <si>
    <t>Clamond</t>
  </si>
  <si>
    <t>Haaland</t>
  </si>
  <si>
    <t>Moody</t>
  </si>
  <si>
    <t>Algorithms</t>
  </si>
  <si>
    <t>Inner Diameter</t>
  </si>
  <si>
    <t>Mass Flow</t>
  </si>
  <si>
    <t>kg/s</t>
  </si>
  <si>
    <t>-</t>
  </si>
  <si>
    <t>mm</t>
  </si>
  <si>
    <t>Variable Name</t>
  </si>
  <si>
    <t>Value</t>
  </si>
  <si>
    <t>Units</t>
  </si>
  <si>
    <t>LOGSTOR SINGLE PIPE</t>
  </si>
  <si>
    <t>Pipe Type</t>
  </si>
  <si>
    <t>AluFlex</t>
  </si>
  <si>
    <t>Steel</t>
  </si>
  <si>
    <t>Pipe Rougness 
(Absolute)</t>
  </si>
  <si>
    <t>[mm]</t>
  </si>
  <si>
    <t>Nominal Diameter</t>
  </si>
  <si>
    <t>Calculations</t>
  </si>
  <si>
    <t>Iteration Tolerance</t>
  </si>
  <si>
    <t>Iteration Number Limit</t>
  </si>
  <si>
    <t>Swame&amp;Jain</t>
  </si>
  <si>
    <t>Zigrang&amp;Sylvester</t>
  </si>
  <si>
    <t>INPUTS</t>
  </si>
  <si>
    <t>Pipe Input Data</t>
  </si>
  <si>
    <t>Reynolds Number</t>
  </si>
  <si>
    <t>Iteration Precision Input
(Required for only Colebrook &amp; White)</t>
  </si>
  <si>
    <t>Operational Input Data</t>
  </si>
  <si>
    <t>Water Temperature</t>
  </si>
  <si>
    <t>°C</t>
  </si>
  <si>
    <t>Hydraulic Static Pressure</t>
  </si>
  <si>
    <t>bar</t>
  </si>
  <si>
    <t>Colebrook&amp;White (with Iteration Input)</t>
  </si>
  <si>
    <t>Colebrook&amp;White (withOUT Iteration Input)</t>
  </si>
  <si>
    <t>C</t>
  </si>
  <si>
    <t>f</t>
  </si>
  <si>
    <t>®</t>
  </si>
  <si>
    <t>Darcy Friction Algorithms</t>
  </si>
  <si>
    <t>C2f</t>
  </si>
  <si>
    <t>f2C</t>
  </si>
  <si>
    <t>minRe</t>
  </si>
  <si>
    <t>maxRe</t>
  </si>
  <si>
    <t>rRou</t>
  </si>
  <si>
    <r>
      <t>C</t>
    </r>
    <r>
      <rPr>
        <vertAlign val="subscript"/>
        <sz val="11"/>
        <color theme="1"/>
        <rFont val="Calibri"/>
        <family val="2"/>
        <scheme val="minor"/>
      </rPr>
      <t>modified</t>
    </r>
  </si>
  <si>
    <t xml:space="preserve">Link: </t>
  </si>
  <si>
    <t xml:space="preserve">https://wellsr.com/vba/2016/excel/powerful-excel-linear-interpolation-function-vba/#Tutorial </t>
  </si>
  <si>
    <t>Reference Info:</t>
  </si>
  <si>
    <t>Ryan Wells, 2016 - Introduction - Linear Interpolation</t>
  </si>
  <si>
    <t>Data by Diskin</t>
  </si>
  <si>
    <t>Linear Interpolation 
(by Ryan Wells)</t>
  </si>
  <si>
    <r>
      <t xml:space="preserve">Converter - Liou 
</t>
    </r>
    <r>
      <rPr>
        <b/>
        <sz val="18"/>
        <color theme="0"/>
        <rFont val="Calibri"/>
        <family val="2"/>
        <scheme val="minor"/>
      </rPr>
      <t xml:space="preserve">(C to f </t>
    </r>
    <r>
      <rPr>
        <b/>
        <sz val="11"/>
        <color theme="0"/>
        <rFont val="Calibri"/>
        <family val="2"/>
        <scheme val="minor"/>
      </rPr>
      <t xml:space="preserve">or </t>
    </r>
    <r>
      <rPr>
        <b/>
        <sz val="18"/>
        <color theme="0"/>
        <rFont val="Calibri"/>
        <family val="2"/>
        <scheme val="minor"/>
      </rPr>
      <t>f to C)</t>
    </r>
  </si>
  <si>
    <t>rRou2C</t>
  </si>
  <si>
    <t>C2rRou</t>
  </si>
  <si>
    <t>f: Darcy-Weisbach friction factor</t>
  </si>
  <si>
    <t>C: Hazen-Williams roughness coefficient</t>
  </si>
  <si>
    <t>Description</t>
  </si>
  <si>
    <t>Convert Direction Input (as String)</t>
  </si>
  <si>
    <r>
      <t>rRou (</t>
    </r>
    <r>
      <rPr>
        <sz val="11"/>
        <color theme="0"/>
        <rFont val="Symbol"/>
        <family val="1"/>
        <charset val="2"/>
      </rPr>
      <t>e</t>
    </r>
    <r>
      <rPr>
        <sz val="11"/>
        <color theme="0"/>
        <rFont val="Calibri"/>
        <family val="2"/>
        <scheme val="minor"/>
      </rPr>
      <t>/D)</t>
    </r>
  </si>
  <si>
    <t>rRou: Relative Roughness (Absolute Roughness / Inner Diameter)</t>
  </si>
  <si>
    <r>
      <t xml:space="preserve">Roughness Converter - Diskin
</t>
    </r>
    <r>
      <rPr>
        <b/>
        <sz val="18"/>
        <color theme="0"/>
        <rFont val="Calibri"/>
        <family val="2"/>
        <scheme val="minor"/>
      </rPr>
      <t xml:space="preserve">(rRou to C </t>
    </r>
    <r>
      <rPr>
        <b/>
        <sz val="11"/>
        <color theme="0"/>
        <rFont val="Calibri"/>
        <family val="2"/>
        <scheme val="minor"/>
      </rPr>
      <t xml:space="preserve">or </t>
    </r>
    <r>
      <rPr>
        <b/>
        <sz val="18"/>
        <color theme="0"/>
        <rFont val="Calibri"/>
        <family val="2"/>
        <scheme val="minor"/>
      </rPr>
      <t>C to rRou)</t>
    </r>
  </si>
  <si>
    <t>Pipe Length</t>
  </si>
  <si>
    <t>m</t>
  </si>
  <si>
    <t>Solver</t>
  </si>
  <si>
    <t>Algorithm</t>
  </si>
  <si>
    <t>Darcy-Weisbach</t>
  </si>
  <si>
    <t>Colebrook-White</t>
  </si>
  <si>
    <t>Swamee-Jain</t>
  </si>
  <si>
    <t>Zigrang-Sylvester</t>
  </si>
  <si>
    <t>USAGE EXAMPLE</t>
  </si>
  <si>
    <t>Darcy-Weisbach Solver</t>
  </si>
  <si>
    <t>Hazen-Williams</t>
  </si>
  <si>
    <t>Hazen-Williams Solver</t>
  </si>
  <si>
    <t>Pressure Loss [bar]</t>
  </si>
  <si>
    <t>Relative Roughness</t>
  </si>
  <si>
    <t>mm/mm</t>
  </si>
  <si>
    <t>Converter Tools (for illustration Purpose)</t>
  </si>
  <si>
    <t>Darcy-Weisbach Friction Factor
(based on Colebrook-White)</t>
  </si>
  <si>
    <t>Corresponding C  - f(rRou)
(using tConverterRoughness)</t>
  </si>
  <si>
    <t>Corresponding C - f(friction factor)
(using tConverterDW2HW)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</si>
</sst>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000000"/>
    <numFmt numFmtId="165" formatCode="0.0000000"/>
    <numFmt numFmtId="166" formatCode="0.00000"/>
    <numFmt numFmtId="167" formatCode="0.0"/>
  </numFmts>
  <fonts count="20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 tint="0.49998474074526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1"/>
      <color theme="1" tint="0.499984740745262"/>
      <name val="Calibri"/>
      <family val="2"/>
      <scheme val="minor"/>
    </font>
    <font>
      <b/>
      <i/>
      <sz val="11"/>
      <color theme="1" tint="0.499984740745262"/>
      <name val="Calibri"/>
      <family val="2"/>
      <scheme val="minor"/>
    </font>
    <font>
      <sz val="11"/>
      <color theme="1"/>
      <name val="Symbol"/>
      <family val="1"/>
      <charset val="2"/>
    </font>
    <font>
      <sz val="11"/>
      <color theme="0"/>
      <name val="Symbol"/>
      <family val="1"/>
      <charset val="2"/>
    </font>
    <font>
      <sz val="11"/>
      <color rgb="FFFF0000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CC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9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ck">
        <color theme="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/>
      <top/>
      <bottom/>
      <diagonal/>
    </border>
  </borders>
  <cellStyleXfs count="24">
    <xf numFmtId="0" fontId="0" fillId="0" borderId="0"/>
    <xf numFmtId="0" fontId="1" fillId="15" borderId="1" applyNumberFormat="0" applyAlignment="0" applyProtection="0"/>
    <xf numFmtId="0" fontId="9" fillId="17" borderId="2" applyNumberFormat="0" applyAlignment="0" applyProtection="0"/>
    <xf numFmtId="0" fontId="10" fillId="16" borderId="1" applyNumberFormat="0" applyAlignment="0" applyProtection="0"/>
    <xf numFmtId="0" fontId="10" fillId="2" borderId="3"/>
    <xf numFmtId="0" fontId="3" fillId="11" borderId="4" applyNumberFormat="0" applyAlignment="0" applyProtection="0"/>
    <xf numFmtId="0" fontId="4" fillId="12" borderId="5" applyNumberFormat="0" applyAlignment="0" applyProtection="0"/>
    <xf numFmtId="0" fontId="5" fillId="3" borderId="0" applyNumberFormat="0" applyBorder="0" applyAlignment="0" applyProtection="0"/>
    <xf numFmtId="0" fontId="6" fillId="4" borderId="0" applyNumberFormat="0" applyBorder="0" applyAlignment="0" applyProtection="0"/>
    <xf numFmtId="0" fontId="6" fillId="5" borderId="0" applyNumberFormat="0" applyBorder="0" applyAlignment="0" applyProtection="0"/>
    <xf numFmtId="0" fontId="5" fillId="6" borderId="0" applyNumberFormat="0" applyBorder="0" applyAlignment="0" applyProtection="0"/>
    <xf numFmtId="0" fontId="6" fillId="7" borderId="0" applyNumberFormat="0" applyBorder="0" applyAlignment="0" applyProtection="0"/>
    <xf numFmtId="0" fontId="5" fillId="8" borderId="0" applyNumberFormat="0" applyBorder="0" applyAlignment="0" applyProtection="0"/>
    <xf numFmtId="0" fontId="6" fillId="9" borderId="0" applyNumberFormat="0" applyBorder="0" applyAlignment="0" applyProtection="0"/>
    <xf numFmtId="0" fontId="6" fillId="10" borderId="0" applyNumberFormat="0" applyBorder="0" applyAlignment="0" applyProtection="0"/>
    <xf numFmtId="0" fontId="7" fillId="13" borderId="6">
      <alignment horizontal="left"/>
    </xf>
    <xf numFmtId="0" fontId="8" fillId="14" borderId="8"/>
    <xf numFmtId="0" fontId="13" fillId="0" borderId="0" applyNumberFormat="0" applyFill="0" applyBorder="0" applyAlignment="0" applyProtection="0"/>
    <xf numFmtId="0" fontId="2" fillId="19" borderId="9" applyNumberFormat="0" applyFont="0" applyAlignment="0" applyProtection="0"/>
    <xf numFmtId="0" fontId="15" fillId="0" borderId="0" applyNumberFormat="0" applyFill="0" applyBorder="0" applyAlignment="0" applyProtection="0"/>
    <xf numFmtId="0" fontId="2" fillId="20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3" borderId="0" applyNumberFormat="0" applyBorder="0" applyAlignment="0" applyProtection="0"/>
  </cellStyleXfs>
  <cellXfs count="66">
    <xf numFmtId="0" fontId="0" fillId="0" borderId="0" xfId="0"/>
    <xf numFmtId="0" fontId="1" fillId="15" borderId="1" xfId="1"/>
    <xf numFmtId="0" fontId="10" fillId="16" borderId="1" xfId="3"/>
    <xf numFmtId="0" fontId="9" fillId="17" borderId="2" xfId="2"/>
    <xf numFmtId="164" fontId="9" fillId="17" borderId="2" xfId="2" applyNumberFormat="1"/>
    <xf numFmtId="164" fontId="0" fillId="0" borderId="0" xfId="0" applyNumberFormat="1"/>
    <xf numFmtId="11" fontId="0" fillId="0" borderId="0" xfId="0" applyNumberFormat="1"/>
    <xf numFmtId="0" fontId="0" fillId="0" borderId="0" xfId="0" applyAlignment="1">
      <alignment horizontal="center"/>
    </xf>
    <xf numFmtId="0" fontId="6" fillId="5" borderId="0" xfId="9" applyAlignment="1">
      <alignment horizontal="center"/>
    </xf>
    <xf numFmtId="0" fontId="6" fillId="10" borderId="0" xfId="14" applyAlignment="1">
      <alignment horizontal="center" vertical="top"/>
    </xf>
    <xf numFmtId="0" fontId="6" fillId="10" borderId="0" xfId="14" applyAlignment="1">
      <alignment horizontal="center" vertical="top" wrapText="1"/>
    </xf>
    <xf numFmtId="0" fontId="1" fillId="15" borderId="1" xfId="1" applyAlignment="1">
      <alignment horizontal="center"/>
    </xf>
    <xf numFmtId="0" fontId="6" fillId="9" borderId="0" xfId="13" quotePrefix="1" applyAlignment="1">
      <alignment horizontal="center"/>
    </xf>
    <xf numFmtId="0" fontId="6" fillId="9" borderId="0" xfId="13" applyAlignment="1">
      <alignment horizontal="center"/>
    </xf>
    <xf numFmtId="0" fontId="6" fillId="9" borderId="0" xfId="13" applyAlignment="1">
      <alignment horizontal="center" wrapText="1"/>
    </xf>
    <xf numFmtId="2" fontId="1" fillId="15" borderId="1" xfId="1" applyNumberFormat="1"/>
    <xf numFmtId="2" fontId="10" fillId="2" borderId="3" xfId="4" applyNumberFormat="1"/>
    <xf numFmtId="1" fontId="10" fillId="16" borderId="1" xfId="3" applyNumberFormat="1"/>
    <xf numFmtId="0" fontId="7" fillId="13" borderId="6" xfId="15" quotePrefix="1">
      <alignment horizontal="left"/>
    </xf>
    <xf numFmtId="0" fontId="7" fillId="13" borderId="6" xfId="15">
      <alignment horizontal="left"/>
    </xf>
    <xf numFmtId="0" fontId="6" fillId="4" borderId="5" xfId="8" applyBorder="1" applyAlignment="1">
      <alignment horizontal="center"/>
    </xf>
    <xf numFmtId="0" fontId="8" fillId="14" borderId="8" xfId="16"/>
    <xf numFmtId="0" fontId="6" fillId="10" borderId="0" xfId="14"/>
    <xf numFmtId="0" fontId="6" fillId="9" borderId="0" xfId="13" quotePrefix="1" applyAlignment="1">
      <alignment horizontal="center" wrapText="1"/>
    </xf>
    <xf numFmtId="0" fontId="11" fillId="0" borderId="0" xfId="0" applyFont="1"/>
    <xf numFmtId="0" fontId="12" fillId="18" borderId="0" xfId="0" applyFont="1" applyFill="1" applyAlignment="1">
      <alignment horizontal="center"/>
    </xf>
    <xf numFmtId="0" fontId="6" fillId="10" borderId="0" xfId="14" applyAlignment="1">
      <alignment horizontal="left"/>
    </xf>
    <xf numFmtId="0" fontId="6" fillId="10" borderId="0" xfId="14" applyBorder="1" applyAlignment="1">
      <alignment horizontal="right"/>
    </xf>
    <xf numFmtId="0" fontId="6" fillId="5" borderId="0" xfId="9" applyAlignment="1">
      <alignment horizontal="center"/>
    </xf>
    <xf numFmtId="11" fontId="1" fillId="15" borderId="1" xfId="1" applyNumberFormat="1"/>
    <xf numFmtId="0" fontId="13" fillId="0" borderId="0" xfId="17"/>
    <xf numFmtId="0" fontId="0" fillId="0" borderId="0" xfId="0" applyAlignment="1">
      <alignment vertical="top"/>
    </xf>
    <xf numFmtId="0" fontId="15" fillId="0" borderId="0" xfId="19"/>
    <xf numFmtId="0" fontId="0" fillId="0" borderId="0" xfId="0" applyAlignment="1"/>
    <xf numFmtId="0" fontId="0" fillId="0" borderId="0" xfId="0" applyAlignment="1">
      <alignment wrapText="1"/>
    </xf>
    <xf numFmtId="0" fontId="10" fillId="2" borderId="3" xfId="4"/>
    <xf numFmtId="165" fontId="9" fillId="17" borderId="2" xfId="2" applyNumberFormat="1"/>
    <xf numFmtId="0" fontId="1" fillId="15" borderId="1" xfId="1" applyAlignment="1">
      <alignment horizontal="left"/>
    </xf>
    <xf numFmtId="0" fontId="0" fillId="0" borderId="0" xfId="0" quotePrefix="1"/>
    <xf numFmtId="0" fontId="6" fillId="22" borderId="0" xfId="22" applyAlignment="1">
      <alignment horizontal="center"/>
    </xf>
    <xf numFmtId="0" fontId="1" fillId="15" borderId="1" xfId="1" quotePrefix="1" applyAlignment="1">
      <alignment horizontal="left"/>
    </xf>
    <xf numFmtId="0" fontId="6" fillId="20" borderId="5" xfId="20" applyFont="1" applyBorder="1" applyAlignment="1">
      <alignment horizontal="center"/>
    </xf>
    <xf numFmtId="0" fontId="6" fillId="20" borderId="0" xfId="20" applyFont="1"/>
    <xf numFmtId="0" fontId="8" fillId="14" borderId="8" xfId="16" applyAlignment="1">
      <alignment wrapText="1"/>
    </xf>
    <xf numFmtId="166" fontId="10" fillId="16" borderId="1" xfId="3" applyNumberFormat="1"/>
    <xf numFmtId="167" fontId="10" fillId="16" borderId="1" xfId="3" applyNumberFormat="1"/>
    <xf numFmtId="0" fontId="6" fillId="5" borderId="0" xfId="9" applyBorder="1" applyAlignment="1">
      <alignment horizontal="center"/>
    </xf>
    <xf numFmtId="0" fontId="6" fillId="5" borderId="0" xfId="9" applyAlignment="1">
      <alignment horizontal="center" wrapText="1"/>
    </xf>
    <xf numFmtId="0" fontId="5" fillId="3" borderId="4" xfId="7" applyBorder="1" applyAlignment="1">
      <alignment horizontal="center"/>
    </xf>
    <xf numFmtId="0" fontId="6" fillId="7" borderId="0" xfId="11" applyBorder="1" applyAlignment="1">
      <alignment horizontal="center"/>
    </xf>
    <xf numFmtId="0" fontId="6" fillId="5" borderId="7" xfId="9" applyBorder="1" applyAlignment="1">
      <alignment horizontal="center"/>
    </xf>
    <xf numFmtId="0" fontId="6" fillId="5" borderId="0" xfId="9" applyAlignment="1">
      <alignment horizontal="center"/>
    </xf>
    <xf numFmtId="0" fontId="5" fillId="6" borderId="0" xfId="10" applyAlignment="1">
      <alignment horizontal="center"/>
    </xf>
    <xf numFmtId="0" fontId="5" fillId="8" borderId="0" xfId="12" applyAlignment="1">
      <alignment horizontal="center" vertical="top" wrapText="1"/>
    </xf>
    <xf numFmtId="0" fontId="5" fillId="8" borderId="0" xfId="12" applyAlignment="1">
      <alignment horizontal="center" vertical="top"/>
    </xf>
    <xf numFmtId="0" fontId="5" fillId="3" borderId="4" xfId="7" applyBorder="1" applyAlignment="1">
      <alignment horizontal="center" vertical="top"/>
    </xf>
    <xf numFmtId="0" fontId="0" fillId="19" borderId="9" xfId="18" applyFont="1"/>
    <xf numFmtId="0" fontId="0" fillId="19" borderId="9" xfId="18" applyFont="1" applyAlignment="1">
      <alignment horizontal="left"/>
    </xf>
    <xf numFmtId="0" fontId="6" fillId="10" borderId="0" xfId="14" applyBorder="1" applyAlignment="1">
      <alignment horizontal="center"/>
    </xf>
    <xf numFmtId="0" fontId="5" fillId="21" borderId="0" xfId="21" applyFont="1" applyAlignment="1">
      <alignment horizontal="center"/>
    </xf>
    <xf numFmtId="0" fontId="6" fillId="23" borderId="0" xfId="23" applyAlignment="1">
      <alignment horizontal="center"/>
    </xf>
    <xf numFmtId="0" fontId="5" fillId="8" borderId="0" xfId="12" applyAlignment="1">
      <alignment horizontal="center"/>
    </xf>
    <xf numFmtId="0" fontId="5" fillId="3" borderId="0" xfId="7" applyAlignment="1">
      <alignment horizontal="center"/>
    </xf>
    <xf numFmtId="0" fontId="0" fillId="19" borderId="10" xfId="18" applyFont="1" applyBorder="1" applyAlignment="1">
      <alignment horizontal="left"/>
    </xf>
    <xf numFmtId="0" fontId="0" fillId="19" borderId="0" xfId="18" applyFont="1" applyBorder="1" applyAlignment="1">
      <alignment horizontal="left"/>
    </xf>
    <xf numFmtId="0" fontId="19" fillId="15" borderId="1" xfId="1" applyFont="1"/>
  </cellXfs>
  <cellStyles count="24">
    <cellStyle name="40% - Accent1" xfId="8" builtinId="31" customBuiltin="1"/>
    <cellStyle name="40% - Accent3" xfId="20" builtinId="39"/>
    <cellStyle name="40% - Accent4" xfId="13" builtinId="43" customBuiltin="1"/>
    <cellStyle name="40% - Accent6" xfId="22" builtinId="51" customBuiltin="1"/>
    <cellStyle name="60% - Accent1" xfId="9" builtinId="32"/>
    <cellStyle name="60% - Accent3" xfId="11" builtinId="40"/>
    <cellStyle name="60% - Accent4" xfId="14" builtinId="44"/>
    <cellStyle name="60% - Accent6" xfId="23" builtinId="52"/>
    <cellStyle name="Accent1" xfId="7" builtinId="29" customBuiltin="1"/>
    <cellStyle name="Accent3" xfId="10" builtinId="37" customBuiltin="1"/>
    <cellStyle name="Accent4" xfId="12" builtinId="41" customBuiltin="1"/>
    <cellStyle name="Accent6" xfId="21" builtinId="49"/>
    <cellStyle name="Calculation" xfId="3" builtinId="22" customBuiltin="1"/>
    <cellStyle name="Heading 1" xfId="5" builtinId="16" customBuiltin="1"/>
    <cellStyle name="Heading 2" xfId="6" builtinId="17" customBuiltin="1"/>
    <cellStyle name="Hyperlink" xfId="19" builtinId="8"/>
    <cellStyle name="Input" xfId="1" builtinId="20" customBuiltin="1"/>
    <cellStyle name="LookUp_Return" xfId="4"/>
    <cellStyle name="Normal" xfId="0" builtinId="0"/>
    <cellStyle name="Note" xfId="18" builtinId="10"/>
    <cellStyle name="Output" xfId="2" builtinId="21" customBuiltin="1"/>
    <cellStyle name="UnitFormat" xfId="15"/>
    <cellStyle name="VariableName" xfId="16"/>
    <cellStyle name="Warning Text" xfId="17" builtinId="1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953190934006178"/>
          <c:y val="5.4424116103134169E-2"/>
          <c:w val="0.83400400226214821"/>
          <c:h val="0.6990663115639956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zDiskinData!$C$2</c:f>
              <c:strCache>
                <c:ptCount val="1"/>
                <c:pt idx="0">
                  <c:v>minRe</c:v>
                </c:pt>
              </c:strCache>
            </c:strRef>
          </c:tx>
          <c:marker>
            <c:symbol val="none"/>
          </c:marker>
          <c:xVal>
            <c:numRef>
              <c:f>zDiskinData!$A$3:$A$16</c:f>
              <c:numCache>
                <c:formatCode>General</c:formatCode>
                <c:ptCount val="14"/>
                <c:pt idx="0">
                  <c:v>0.02</c:v>
                </c:pt>
                <c:pt idx="1">
                  <c:v>1.4999999999999999E-2</c:v>
                </c:pt>
                <c:pt idx="2">
                  <c:v>0.01</c:v>
                </c:pt>
                <c:pt idx="3">
                  <c:v>6.0000000000000001E-3</c:v>
                </c:pt>
                <c:pt idx="4">
                  <c:v>4.0000000000000001E-3</c:v>
                </c:pt>
                <c:pt idx="5">
                  <c:v>2E-3</c:v>
                </c:pt>
                <c:pt idx="6">
                  <c:v>1E-3</c:v>
                </c:pt>
                <c:pt idx="7">
                  <c:v>5.9999999999999995E-4</c:v>
                </c:pt>
                <c:pt idx="8">
                  <c:v>4.0000000000000002E-4</c:v>
                </c:pt>
                <c:pt idx="9">
                  <c:v>2.0000000000000001E-4</c:v>
                </c:pt>
                <c:pt idx="10">
                  <c:v>1E-4</c:v>
                </c:pt>
                <c:pt idx="11" formatCode="0.00E+00">
                  <c:v>5.0000000000000002E-5</c:v>
                </c:pt>
                <c:pt idx="12" formatCode="0.00E+00">
                  <c:v>1.0000000000000001E-5</c:v>
                </c:pt>
                <c:pt idx="13" formatCode="0.00E+00">
                  <c:v>5.0000000000000004E-6</c:v>
                </c:pt>
              </c:numCache>
            </c:numRef>
          </c:xVal>
          <c:yVal>
            <c:numRef>
              <c:f>zDiskinData!$C$3:$C$16</c:f>
              <c:numCache>
                <c:formatCode>General</c:formatCode>
                <c:ptCount val="14"/>
                <c:pt idx="0">
                  <c:v>2000</c:v>
                </c:pt>
                <c:pt idx="1">
                  <c:v>2000</c:v>
                </c:pt>
                <c:pt idx="2">
                  <c:v>2000</c:v>
                </c:pt>
                <c:pt idx="3">
                  <c:v>4000</c:v>
                </c:pt>
                <c:pt idx="4">
                  <c:v>8000</c:v>
                </c:pt>
                <c:pt idx="5">
                  <c:v>10000</c:v>
                </c:pt>
                <c:pt idx="6">
                  <c:v>20000</c:v>
                </c:pt>
                <c:pt idx="7">
                  <c:v>30000</c:v>
                </c:pt>
                <c:pt idx="8">
                  <c:v>40000</c:v>
                </c:pt>
                <c:pt idx="9">
                  <c:v>60000</c:v>
                </c:pt>
                <c:pt idx="10">
                  <c:v>80000</c:v>
                </c:pt>
                <c:pt idx="11">
                  <c:v>100000</c:v>
                </c:pt>
                <c:pt idx="12">
                  <c:v>400000</c:v>
                </c:pt>
                <c:pt idx="13">
                  <c:v>6000000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zDiskinData!$D$2</c:f>
              <c:strCache>
                <c:ptCount val="1"/>
                <c:pt idx="0">
                  <c:v>maxRe</c:v>
                </c:pt>
              </c:strCache>
            </c:strRef>
          </c:tx>
          <c:marker>
            <c:symbol val="none"/>
          </c:marker>
          <c:xVal>
            <c:numRef>
              <c:f>zDiskinData!$A$3:$A$16</c:f>
              <c:numCache>
                <c:formatCode>General</c:formatCode>
                <c:ptCount val="14"/>
                <c:pt idx="0">
                  <c:v>0.02</c:v>
                </c:pt>
                <c:pt idx="1">
                  <c:v>1.4999999999999999E-2</c:v>
                </c:pt>
                <c:pt idx="2">
                  <c:v>0.01</c:v>
                </c:pt>
                <c:pt idx="3">
                  <c:v>6.0000000000000001E-3</c:v>
                </c:pt>
                <c:pt idx="4">
                  <c:v>4.0000000000000001E-3</c:v>
                </c:pt>
                <c:pt idx="5">
                  <c:v>2E-3</c:v>
                </c:pt>
                <c:pt idx="6">
                  <c:v>1E-3</c:v>
                </c:pt>
                <c:pt idx="7">
                  <c:v>5.9999999999999995E-4</c:v>
                </c:pt>
                <c:pt idx="8">
                  <c:v>4.0000000000000002E-4</c:v>
                </c:pt>
                <c:pt idx="9">
                  <c:v>2.0000000000000001E-4</c:v>
                </c:pt>
                <c:pt idx="10">
                  <c:v>1E-4</c:v>
                </c:pt>
                <c:pt idx="11" formatCode="0.00E+00">
                  <c:v>5.0000000000000002E-5</c:v>
                </c:pt>
                <c:pt idx="12" formatCode="0.00E+00">
                  <c:v>1.0000000000000001E-5</c:v>
                </c:pt>
                <c:pt idx="13" formatCode="0.00E+00">
                  <c:v>5.0000000000000004E-6</c:v>
                </c:pt>
              </c:numCache>
            </c:numRef>
          </c:xVal>
          <c:yVal>
            <c:numRef>
              <c:f>zDiskinData!$D$3:$D$16</c:f>
              <c:numCache>
                <c:formatCode>General</c:formatCode>
                <c:ptCount val="14"/>
                <c:pt idx="0">
                  <c:v>5000</c:v>
                </c:pt>
                <c:pt idx="1">
                  <c:v>7500</c:v>
                </c:pt>
                <c:pt idx="2">
                  <c:v>10000</c:v>
                </c:pt>
                <c:pt idx="3">
                  <c:v>20000</c:v>
                </c:pt>
                <c:pt idx="4">
                  <c:v>25000</c:v>
                </c:pt>
                <c:pt idx="5">
                  <c:v>40000</c:v>
                </c:pt>
                <c:pt idx="6">
                  <c:v>100000</c:v>
                </c:pt>
                <c:pt idx="7">
                  <c:v>150000</c:v>
                </c:pt>
                <c:pt idx="8">
                  <c:v>200000</c:v>
                </c:pt>
                <c:pt idx="9">
                  <c:v>400000</c:v>
                </c:pt>
                <c:pt idx="10">
                  <c:v>800000</c:v>
                </c:pt>
                <c:pt idx="11">
                  <c:v>1000000</c:v>
                </c:pt>
                <c:pt idx="12">
                  <c:v>4000000</c:v>
                </c:pt>
                <c:pt idx="13">
                  <c:v>20000000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4932480"/>
        <c:axId val="274934400"/>
      </c:scatterChart>
      <c:valAx>
        <c:axId val="274932480"/>
        <c:scaling>
          <c:logBase val="10"/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tr-TR"/>
                  <a:t>rRou [mm/mm]</a:t>
                </a:r>
                <a:endParaRPr lang="en-GB"/>
              </a:p>
            </c:rich>
          </c:tx>
          <c:layout>
            <c:manualLayout>
              <c:xMode val="edge"/>
              <c:yMode val="edge"/>
              <c:x val="0.6931600585325064"/>
              <c:y val="0.7927061139416397"/>
            </c:manualLayout>
          </c:layout>
          <c:overlay val="0"/>
        </c:title>
        <c:numFmt formatCode="0.E+00" sourceLinked="0"/>
        <c:majorTickMark val="out"/>
        <c:minorTickMark val="none"/>
        <c:tickLblPos val="nextTo"/>
        <c:crossAx val="274934400"/>
        <c:crossesAt val="1.0000000000000004E-6"/>
        <c:crossBetween val="midCat"/>
      </c:valAx>
      <c:valAx>
        <c:axId val="2749344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tr-TR"/>
                  <a:t>Reynolds [-]</a:t>
                </a:r>
                <a:endParaRPr lang="en-GB"/>
              </a:p>
            </c:rich>
          </c:tx>
          <c:layout>
            <c:manualLayout>
              <c:xMode val="edge"/>
              <c:yMode val="edge"/>
              <c:x val="2.4776177839648496E-2"/>
              <c:y val="5.1604137718079361E-2"/>
            </c:manualLayout>
          </c:layout>
          <c:overlay val="0"/>
        </c:title>
        <c:numFmt formatCode="0.E+00" sourceLinked="0"/>
        <c:majorTickMark val="out"/>
        <c:minorTickMark val="none"/>
        <c:tickLblPos val="nextTo"/>
        <c:crossAx val="274932480"/>
        <c:crossesAt val="1.0000000000000004E-6"/>
        <c:crossBetween val="midCat"/>
      </c:valAx>
    </c:plotArea>
    <c:legend>
      <c:legendPos val="b"/>
      <c:layout>
        <c:manualLayout>
          <c:xMode val="edge"/>
          <c:yMode val="edge"/>
          <c:x val="5.087281216919709E-2"/>
          <c:y val="0.88684846379496685"/>
          <c:w val="0.22422122649033513"/>
          <c:h val="8.8641732283464572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19050</xdr:colOff>
      <xdr:row>2</xdr:row>
      <xdr:rowOff>9525</xdr:rowOff>
    </xdr:from>
    <xdr:to>
      <xdr:col>19</xdr:col>
      <xdr:colOff>209550</xdr:colOff>
      <xdr:row>15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https://wellsr.com/vba/2016/excel/powerful-excel-linear-interpolation-function-vba/" TargetMode="External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29"/>
  <sheetViews>
    <sheetView tabSelected="1" workbookViewId="0">
      <selection activeCell="B12" sqref="B12"/>
    </sheetView>
  </sheetViews>
  <sheetFormatPr defaultRowHeight="15" x14ac:dyDescent="0.25"/>
  <cols>
    <col min="1" max="1" width="33.140625" customWidth="1"/>
    <col min="2" max="2" width="11" bestFit="1" customWidth="1"/>
    <col min="3" max="3" width="7.42578125" bestFit="1" customWidth="1"/>
    <col min="5" max="5" width="18.5703125" bestFit="1" customWidth="1"/>
    <col min="6" max="6" width="16.42578125" bestFit="1" customWidth="1"/>
    <col min="7" max="7" width="17.85546875" bestFit="1" customWidth="1"/>
    <col min="8" max="8" width="9.140625" customWidth="1"/>
  </cols>
  <sheetData>
    <row r="1" spans="1:9" ht="15.75" thickBot="1" x14ac:dyDescent="0.3">
      <c r="A1" s="48" t="s">
        <v>26</v>
      </c>
      <c r="B1" s="48"/>
      <c r="C1" s="48"/>
      <c r="E1" s="59" t="s">
        <v>71</v>
      </c>
      <c r="F1" s="59"/>
      <c r="G1" s="59"/>
    </row>
    <row r="2" spans="1:9" ht="15.75" thickTop="1" x14ac:dyDescent="0.25">
      <c r="A2" s="50" t="s">
        <v>27</v>
      </c>
      <c r="B2" s="50"/>
      <c r="C2" s="50"/>
      <c r="E2" s="60" t="s">
        <v>72</v>
      </c>
      <c r="F2" s="60"/>
      <c r="G2" s="60"/>
      <c r="H2" s="33"/>
      <c r="I2" s="33"/>
    </row>
    <row r="3" spans="1:9" ht="15.75" thickBot="1" x14ac:dyDescent="0.3">
      <c r="A3" s="20" t="s">
        <v>11</v>
      </c>
      <c r="B3" s="20" t="s">
        <v>12</v>
      </c>
      <c r="C3" s="20" t="s">
        <v>13</v>
      </c>
      <c r="D3" s="7"/>
      <c r="E3" s="39" t="s">
        <v>65</v>
      </c>
      <c r="F3" s="39" t="s">
        <v>66</v>
      </c>
      <c r="G3" s="39" t="s">
        <v>75</v>
      </c>
    </row>
    <row r="4" spans="1:9" ht="15.75" thickTop="1" x14ac:dyDescent="0.25">
      <c r="A4" s="21" t="s">
        <v>63</v>
      </c>
      <c r="B4" s="15">
        <v>100</v>
      </c>
      <c r="C4" s="19" t="s">
        <v>64</v>
      </c>
      <c r="E4" s="1" t="s">
        <v>67</v>
      </c>
      <c r="F4" s="37" t="s">
        <v>68</v>
      </c>
      <c r="G4" s="36">
        <f>PressureLoss(B$4,B$5, B$6, B$10, B$11, B$12,E4,F4)</f>
        <v>0.18618746836912836</v>
      </c>
    </row>
    <row r="5" spans="1:9" x14ac:dyDescent="0.25">
      <c r="A5" s="21" t="s">
        <v>6</v>
      </c>
      <c r="B5" s="15">
        <v>70.3</v>
      </c>
      <c r="C5" s="19" t="s">
        <v>10</v>
      </c>
      <c r="E5" s="1" t="s">
        <v>67</v>
      </c>
      <c r="F5" s="37" t="s">
        <v>2</v>
      </c>
      <c r="G5" s="36">
        <f>PressureLoss(B$4,B$5, B$6, B$10, B$11, B$12,E5,F5)</f>
        <v>0.18511438126376031</v>
      </c>
    </row>
    <row r="6" spans="1:9" x14ac:dyDescent="0.25">
      <c r="A6" s="21" t="s">
        <v>0</v>
      </c>
      <c r="B6" s="16">
        <f>VLOOKUP(B5,zPipeCatalogue!C4:D14,2)</f>
        <v>0.1</v>
      </c>
      <c r="C6" s="19" t="s">
        <v>10</v>
      </c>
      <c r="E6" s="1" t="s">
        <v>67</v>
      </c>
      <c r="F6" s="37" t="s">
        <v>4</v>
      </c>
      <c r="G6" s="36">
        <f t="shared" ref="G4:G9" si="0">PressureLoss(B$4,B$5, B$6, B$10, B$11, B$12,E6,F6)</f>
        <v>0.18865646515425644</v>
      </c>
    </row>
    <row r="7" spans="1:9" x14ac:dyDescent="0.25">
      <c r="E7" s="1" t="s">
        <v>67</v>
      </c>
      <c r="F7" s="37" t="s">
        <v>3</v>
      </c>
      <c r="G7" s="36">
        <f t="shared" si="0"/>
        <v>0.18336822689461746</v>
      </c>
    </row>
    <row r="8" spans="1:9" x14ac:dyDescent="0.25">
      <c r="A8" s="46" t="s">
        <v>30</v>
      </c>
      <c r="B8" s="46"/>
      <c r="C8" s="46"/>
      <c r="E8" s="1" t="s">
        <v>67</v>
      </c>
      <c r="F8" s="37" t="s">
        <v>69</v>
      </c>
      <c r="G8" s="36">
        <f t="shared" si="0"/>
        <v>0.1867194493874324</v>
      </c>
    </row>
    <row r="9" spans="1:9" ht="15.75" thickBot="1" x14ac:dyDescent="0.3">
      <c r="A9" s="20" t="s">
        <v>11</v>
      </c>
      <c r="B9" s="20" t="s">
        <v>12</v>
      </c>
      <c r="C9" s="20" t="s">
        <v>13</v>
      </c>
      <c r="E9" s="1" t="s">
        <v>67</v>
      </c>
      <c r="F9" s="37" t="s">
        <v>70</v>
      </c>
      <c r="G9" s="36">
        <f t="shared" si="0"/>
        <v>0.18245108240874072</v>
      </c>
    </row>
    <row r="10" spans="1:9" ht="15.75" thickTop="1" x14ac:dyDescent="0.25">
      <c r="A10" s="21" t="s">
        <v>7</v>
      </c>
      <c r="B10" s="15">
        <v>4</v>
      </c>
      <c r="C10" s="19" t="s">
        <v>8</v>
      </c>
    </row>
    <row r="11" spans="1:9" x14ac:dyDescent="0.25">
      <c r="A11" s="21" t="s">
        <v>31</v>
      </c>
      <c r="B11" s="65">
        <v>15</v>
      </c>
      <c r="C11" s="19" t="s">
        <v>32</v>
      </c>
    </row>
    <row r="12" spans="1:9" x14ac:dyDescent="0.25">
      <c r="A12" s="21" t="s">
        <v>33</v>
      </c>
      <c r="B12" s="1">
        <v>8</v>
      </c>
      <c r="C12" s="19" t="s">
        <v>34</v>
      </c>
      <c r="E12" s="60" t="s">
        <v>74</v>
      </c>
      <c r="F12" s="60"/>
      <c r="G12" s="60"/>
    </row>
    <row r="13" spans="1:9" x14ac:dyDescent="0.25">
      <c r="E13" s="39" t="s">
        <v>65</v>
      </c>
      <c r="F13" s="39" t="s">
        <v>66</v>
      </c>
      <c r="G13" s="39" t="s">
        <v>75</v>
      </c>
    </row>
    <row r="14" spans="1:9" x14ac:dyDescent="0.25">
      <c r="A14" s="51" t="s">
        <v>21</v>
      </c>
      <c r="B14" s="51"/>
      <c r="C14" s="51"/>
      <c r="E14" s="1" t="s">
        <v>73</v>
      </c>
      <c r="F14" s="40" t="s">
        <v>9</v>
      </c>
      <c r="G14" s="36">
        <f>PressureLoss(B$4,B$5, B$6, B$10, B$11, B$12,E14)</f>
        <v>0.19016731771102663</v>
      </c>
    </row>
    <row r="15" spans="1:9" ht="15.75" thickBot="1" x14ac:dyDescent="0.3">
      <c r="A15" s="20" t="s">
        <v>11</v>
      </c>
      <c r="B15" s="20" t="s">
        <v>12</v>
      </c>
      <c r="C15" s="20" t="s">
        <v>13</v>
      </c>
    </row>
    <row r="16" spans="1:9" ht="15.75" thickTop="1" x14ac:dyDescent="0.25">
      <c r="A16" s="21" t="s">
        <v>28</v>
      </c>
      <c r="B16" s="17">
        <f>Reynolds(B10,B5,B11,B12)</f>
        <v>63713.449887624833</v>
      </c>
      <c r="C16" s="18" t="s">
        <v>9</v>
      </c>
    </row>
    <row r="17" spans="1:3" x14ac:dyDescent="0.25">
      <c r="A17" s="21" t="s">
        <v>76</v>
      </c>
      <c r="B17" s="44">
        <f>B6/B5</f>
        <v>1.4224751066856331E-3</v>
      </c>
      <c r="C17" s="19" t="s">
        <v>77</v>
      </c>
    </row>
    <row r="18" spans="1:3" ht="30" x14ac:dyDescent="0.25">
      <c r="A18" s="43" t="s">
        <v>79</v>
      </c>
      <c r="B18" s="44">
        <f>f_ColebrookWhite(B5,B16,B6)</f>
        <v>2.4610253214212743E-2</v>
      </c>
      <c r="C18" s="18" t="s">
        <v>9</v>
      </c>
    </row>
    <row r="19" spans="1:3" x14ac:dyDescent="0.25">
      <c r="C19" s="38"/>
    </row>
    <row r="20" spans="1:3" x14ac:dyDescent="0.25">
      <c r="A20" s="51" t="s">
        <v>78</v>
      </c>
      <c r="B20" s="51"/>
      <c r="C20" s="51"/>
    </row>
    <row r="21" spans="1:3" ht="15.75" thickBot="1" x14ac:dyDescent="0.3">
      <c r="A21" s="20" t="s">
        <v>11</v>
      </c>
      <c r="B21" s="20" t="s">
        <v>12</v>
      </c>
      <c r="C21" s="20" t="s">
        <v>13</v>
      </c>
    </row>
    <row r="22" spans="1:3" ht="15.75" thickTop="1" x14ac:dyDescent="0.25">
      <c r="A22" s="28"/>
      <c r="B22" s="28"/>
      <c r="C22" s="28"/>
    </row>
    <row r="23" spans="1:3" ht="30" x14ac:dyDescent="0.25">
      <c r="A23" s="43" t="s">
        <v>80</v>
      </c>
      <c r="B23" s="45">
        <f>tConverterRoughness(B17,"rRou2C")</f>
        <v>130.5060165809619</v>
      </c>
      <c r="C23" s="18" t="s">
        <v>9</v>
      </c>
    </row>
    <row r="24" spans="1:3" ht="30" x14ac:dyDescent="0.25">
      <c r="A24" s="43" t="s">
        <v>81</v>
      </c>
      <c r="B24" s="45">
        <f>tConverterDW2HW(B18, B5, B16, B11, B12, "f2C")</f>
        <v>124.30674062037889</v>
      </c>
      <c r="C24" s="18" t="s">
        <v>9</v>
      </c>
    </row>
    <row r="26" spans="1:3" x14ac:dyDescent="0.25">
      <c r="A26" s="47" t="s">
        <v>29</v>
      </c>
      <c r="B26" s="47"/>
      <c r="C26" s="47"/>
    </row>
    <row r="27" spans="1:3" ht="15.75" thickBot="1" x14ac:dyDescent="0.3">
      <c r="A27" s="20" t="s">
        <v>11</v>
      </c>
      <c r="B27" s="20" t="s">
        <v>12</v>
      </c>
      <c r="C27" s="20" t="s">
        <v>13</v>
      </c>
    </row>
    <row r="28" spans="1:3" ht="15.75" thickTop="1" x14ac:dyDescent="0.25">
      <c r="A28" s="21" t="s">
        <v>22</v>
      </c>
      <c r="B28" s="1">
        <v>1.0000000000000001E-5</v>
      </c>
      <c r="C28" s="18" t="s">
        <v>9</v>
      </c>
    </row>
    <row r="29" spans="1:3" x14ac:dyDescent="0.25">
      <c r="A29" s="21" t="s">
        <v>23</v>
      </c>
      <c r="B29" s="1">
        <v>1000000000</v>
      </c>
      <c r="C29" s="18" t="s">
        <v>9</v>
      </c>
    </row>
  </sheetData>
  <mergeCells count="9">
    <mergeCell ref="A26:C26"/>
    <mergeCell ref="E1:G1"/>
    <mergeCell ref="E2:G2"/>
    <mergeCell ref="E12:G12"/>
    <mergeCell ref="A20:C20"/>
    <mergeCell ref="A1:C1"/>
    <mergeCell ref="A2:C2"/>
    <mergeCell ref="A8:C8"/>
    <mergeCell ref="A14:C14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20"/>
  <sheetViews>
    <sheetView workbookViewId="0">
      <selection activeCell="F7" sqref="F7"/>
    </sheetView>
  </sheetViews>
  <sheetFormatPr defaultRowHeight="15" x14ac:dyDescent="0.25"/>
  <cols>
    <col min="1" max="1" width="26" customWidth="1"/>
    <col min="2" max="2" width="22.42578125" customWidth="1"/>
    <col min="3" max="3" width="5.5703125" bestFit="1" customWidth="1"/>
    <col min="4" max="4" width="3.85546875" customWidth="1"/>
    <col min="5" max="5" width="42.42578125" customWidth="1"/>
    <col min="6" max="6" width="21.85546875" customWidth="1"/>
    <col min="7" max="7" width="5.5703125" customWidth="1"/>
    <col min="8" max="8" width="10.85546875" customWidth="1"/>
    <col min="9" max="9" width="17.28515625" bestFit="1" customWidth="1"/>
    <col min="10" max="10" width="15.28515625" bestFit="1" customWidth="1"/>
    <col min="11" max="12" width="11.5703125" bestFit="1" customWidth="1"/>
  </cols>
  <sheetData>
    <row r="1" spans="1:12" ht="15.75" thickBot="1" x14ac:dyDescent="0.3">
      <c r="A1" s="48" t="s">
        <v>26</v>
      </c>
      <c r="B1" s="48"/>
      <c r="C1" s="48"/>
      <c r="D1" s="7"/>
      <c r="E1" s="52" t="s">
        <v>71</v>
      </c>
      <c r="F1" s="52"/>
      <c r="G1" s="52"/>
    </row>
    <row r="2" spans="1:12" ht="15.75" thickTop="1" x14ac:dyDescent="0.25">
      <c r="A2" s="50" t="s">
        <v>27</v>
      </c>
      <c r="B2" s="50"/>
      <c r="C2" s="50"/>
      <c r="D2" s="7"/>
      <c r="E2" s="49" t="s">
        <v>40</v>
      </c>
      <c r="F2" s="49"/>
      <c r="G2" s="49"/>
    </row>
    <row r="3" spans="1:12" ht="15.75" thickBot="1" x14ac:dyDescent="0.3">
      <c r="A3" s="20" t="s">
        <v>11</v>
      </c>
      <c r="B3" s="20" t="s">
        <v>12</v>
      </c>
      <c r="C3" s="20" t="s">
        <v>13</v>
      </c>
      <c r="E3" s="41" t="s">
        <v>5</v>
      </c>
      <c r="F3" s="41" t="s">
        <v>1</v>
      </c>
      <c r="G3" s="42" t="s">
        <v>13</v>
      </c>
    </row>
    <row r="4" spans="1:12" ht="15.75" thickTop="1" x14ac:dyDescent="0.25">
      <c r="A4" s="21" t="s">
        <v>6</v>
      </c>
      <c r="B4" s="15">
        <v>70.3</v>
      </c>
      <c r="C4" s="19" t="s">
        <v>10</v>
      </c>
      <c r="E4" s="21" t="s">
        <v>35</v>
      </c>
      <c r="F4" s="4">
        <f>f_ColebrookWhite(B4,B15,B5,B19,B20)</f>
        <v>2.2240707991377926E-2</v>
      </c>
      <c r="G4" s="18" t="s">
        <v>9</v>
      </c>
      <c r="L4" s="6"/>
    </row>
    <row r="5" spans="1:12" x14ac:dyDescent="0.25">
      <c r="A5" s="21" t="s">
        <v>0</v>
      </c>
      <c r="B5" s="16">
        <f>VLOOKUP(B4,zPipeCatalogue!C4:D14,2)</f>
        <v>0.1</v>
      </c>
      <c r="C5" s="19" t="s">
        <v>10</v>
      </c>
      <c r="E5" s="21" t="s">
        <v>36</v>
      </c>
      <c r="F5" s="4">
        <f>f_ColebrookWhite(B4,B15,B5)</f>
        <v>2.2240791923800698E-2</v>
      </c>
      <c r="G5" s="18" t="s">
        <v>9</v>
      </c>
      <c r="L5" s="6"/>
    </row>
    <row r="6" spans="1:12" x14ac:dyDescent="0.25">
      <c r="E6" s="21" t="s">
        <v>4</v>
      </c>
      <c r="F6" s="4">
        <f>f_Moody(B4,B15,B5)</f>
        <v>2.2948453029325407E-2</v>
      </c>
      <c r="G6" s="18" t="s">
        <v>9</v>
      </c>
      <c r="L6" s="6"/>
    </row>
    <row r="7" spans="1:12" x14ac:dyDescent="0.25">
      <c r="A7" s="46" t="s">
        <v>30</v>
      </c>
      <c r="B7" s="46"/>
      <c r="C7" s="46"/>
      <c r="E7" s="21" t="s">
        <v>2</v>
      </c>
      <c r="F7" s="4">
        <f>f_Clamond(B15,B5/B4)</f>
        <v>2.2229270132527165E-2</v>
      </c>
      <c r="G7" s="18" t="s">
        <v>9</v>
      </c>
      <c r="L7" s="5"/>
    </row>
    <row r="8" spans="1:12" ht="15.75" thickBot="1" x14ac:dyDescent="0.3">
      <c r="A8" s="20" t="s">
        <v>11</v>
      </c>
      <c r="B8" s="20" t="s">
        <v>12</v>
      </c>
      <c r="C8" s="20" t="s">
        <v>13</v>
      </c>
      <c r="E8" s="21" t="s">
        <v>24</v>
      </c>
      <c r="F8" s="4">
        <f>f_SwameeJain(B4,B15,B5)</f>
        <v>2.2378997184577285E-2</v>
      </c>
      <c r="G8" s="18" t="s">
        <v>9</v>
      </c>
    </row>
    <row r="9" spans="1:12" ht="15.75" thickTop="1" x14ac:dyDescent="0.25">
      <c r="A9" s="21" t="s">
        <v>7</v>
      </c>
      <c r="B9" s="15">
        <v>8</v>
      </c>
      <c r="C9" s="19" t="s">
        <v>8</v>
      </c>
      <c r="E9" s="21" t="s">
        <v>3</v>
      </c>
      <c r="F9" s="4">
        <f>f_Haaland(B4,B15,B5)</f>
        <v>2.2174765284918203E-2</v>
      </c>
      <c r="G9" s="18" t="s">
        <v>9</v>
      </c>
    </row>
    <row r="10" spans="1:12" x14ac:dyDescent="0.25">
      <c r="A10" s="21" t="s">
        <v>31</v>
      </c>
      <c r="B10" s="1">
        <v>55</v>
      </c>
      <c r="C10" s="19" t="s">
        <v>32</v>
      </c>
      <c r="E10" s="21" t="s">
        <v>25</v>
      </c>
      <c r="F10" s="4">
        <f>f_ZigrangSylvester(B4,B15,B5)</f>
        <v>2.2109521672625653E-2</v>
      </c>
      <c r="G10" s="18" t="s">
        <v>9</v>
      </c>
    </row>
    <row r="11" spans="1:12" x14ac:dyDescent="0.25">
      <c r="A11" s="21" t="s">
        <v>33</v>
      </c>
      <c r="B11" s="1">
        <v>8</v>
      </c>
      <c r="C11" s="19" t="s">
        <v>34</v>
      </c>
    </row>
    <row r="13" spans="1:12" x14ac:dyDescent="0.25">
      <c r="A13" s="51" t="s">
        <v>21</v>
      </c>
      <c r="B13" s="51"/>
      <c r="C13" s="51"/>
    </row>
    <row r="14" spans="1:12" ht="15.75" thickBot="1" x14ac:dyDescent="0.3">
      <c r="A14" s="20" t="s">
        <v>11</v>
      </c>
      <c r="B14" s="20" t="s">
        <v>12</v>
      </c>
      <c r="C14" s="20" t="s">
        <v>13</v>
      </c>
    </row>
    <row r="15" spans="1:12" ht="15.75" thickTop="1" x14ac:dyDescent="0.25">
      <c r="A15" s="21" t="s">
        <v>28</v>
      </c>
      <c r="B15" s="17">
        <f>Reynolds(B9,B4,B10,B11)</f>
        <v>287413.57597460219</v>
      </c>
      <c r="C15" s="18" t="s">
        <v>9</v>
      </c>
      <c r="E15" s="6"/>
    </row>
    <row r="16" spans="1:12" ht="15" customHeight="1" x14ac:dyDescent="0.25"/>
    <row r="17" spans="1:3" ht="33" customHeight="1" x14ac:dyDescent="0.25">
      <c r="A17" s="47" t="s">
        <v>29</v>
      </c>
      <c r="B17" s="47"/>
      <c r="C17" s="47"/>
    </row>
    <row r="18" spans="1:3" ht="15.75" thickBot="1" x14ac:dyDescent="0.3">
      <c r="A18" s="20" t="s">
        <v>11</v>
      </c>
      <c r="B18" s="20" t="s">
        <v>12</v>
      </c>
      <c r="C18" s="20" t="s">
        <v>13</v>
      </c>
    </row>
    <row r="19" spans="1:3" ht="15.75" thickTop="1" x14ac:dyDescent="0.25">
      <c r="A19" s="21" t="s">
        <v>22</v>
      </c>
      <c r="B19" s="1">
        <v>1.0000000000000001E-5</v>
      </c>
      <c r="C19" s="18" t="s">
        <v>9</v>
      </c>
    </row>
    <row r="20" spans="1:3" x14ac:dyDescent="0.25">
      <c r="A20" s="21" t="s">
        <v>23</v>
      </c>
      <c r="B20" s="1">
        <v>1000000000</v>
      </c>
      <c r="C20" s="18" t="s">
        <v>9</v>
      </c>
    </row>
  </sheetData>
  <mergeCells count="7">
    <mergeCell ref="A7:C7"/>
    <mergeCell ref="A17:C17"/>
    <mergeCell ref="A1:C1"/>
    <mergeCell ref="E2:G2"/>
    <mergeCell ref="A2:C2"/>
    <mergeCell ref="A13:C13"/>
    <mergeCell ref="E1:G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17"/>
  <sheetViews>
    <sheetView workbookViewId="0">
      <selection activeCell="H4" sqref="H4"/>
    </sheetView>
  </sheetViews>
  <sheetFormatPr defaultRowHeight="15" x14ac:dyDescent="0.25"/>
  <cols>
    <col min="1" max="1" width="23.140625" bestFit="1" customWidth="1"/>
    <col min="2" max="2" width="9.140625" bestFit="1" customWidth="1"/>
    <col min="3" max="3" width="5.5703125" bestFit="1" customWidth="1"/>
    <col min="5" max="5" width="31.7109375" bestFit="1" customWidth="1"/>
    <col min="7" max="7" width="3.140625" bestFit="1" customWidth="1"/>
    <col min="16" max="16" width="12" bestFit="1" customWidth="1"/>
  </cols>
  <sheetData>
    <row r="1" spans="1:8" ht="46.5" customHeight="1" thickBot="1" x14ac:dyDescent="0.3">
      <c r="A1" s="55" t="s">
        <v>26</v>
      </c>
      <c r="B1" s="55"/>
      <c r="C1" s="55"/>
      <c r="D1" s="31"/>
      <c r="E1" s="53" t="s">
        <v>53</v>
      </c>
      <c r="F1" s="54"/>
      <c r="G1" s="54"/>
      <c r="H1" s="54"/>
    </row>
    <row r="2" spans="1:8" ht="15.75" thickTop="1" x14ac:dyDescent="0.25">
      <c r="A2" s="50" t="s">
        <v>27</v>
      </c>
      <c r="B2" s="50"/>
      <c r="C2" s="50"/>
      <c r="E2" s="22" t="s">
        <v>59</v>
      </c>
      <c r="F2" s="27" t="s">
        <v>37</v>
      </c>
      <c r="G2" s="25" t="s">
        <v>39</v>
      </c>
      <c r="H2" s="26" t="s">
        <v>38</v>
      </c>
    </row>
    <row r="3" spans="1:8" ht="15.75" thickBot="1" x14ac:dyDescent="0.3">
      <c r="A3" s="20" t="s">
        <v>11</v>
      </c>
      <c r="B3" s="20" t="s">
        <v>12</v>
      </c>
      <c r="C3" s="20" t="s">
        <v>13</v>
      </c>
      <c r="E3" s="11" t="s">
        <v>41</v>
      </c>
      <c r="F3" s="1">
        <v>150</v>
      </c>
      <c r="G3" s="24" t="s">
        <v>39</v>
      </c>
      <c r="H3" s="3">
        <f>tConverterDW2HW(F3, B4, B14, B9, B10, E3)</f>
        <v>1.5658242544707081E-2</v>
      </c>
    </row>
    <row r="4" spans="1:8" ht="15.75" thickTop="1" x14ac:dyDescent="0.25">
      <c r="A4" s="21" t="s">
        <v>6</v>
      </c>
      <c r="B4" s="15">
        <v>70.3</v>
      </c>
      <c r="C4" s="19" t="s">
        <v>10</v>
      </c>
      <c r="G4" s="7"/>
    </row>
    <row r="5" spans="1:8" x14ac:dyDescent="0.25">
      <c r="E5" s="22" t="s">
        <v>59</v>
      </c>
      <c r="F5" s="27" t="s">
        <v>38</v>
      </c>
      <c r="G5" s="25" t="s">
        <v>39</v>
      </c>
      <c r="H5" s="26" t="s">
        <v>37</v>
      </c>
    </row>
    <row r="6" spans="1:8" x14ac:dyDescent="0.25">
      <c r="A6" s="46" t="s">
        <v>30</v>
      </c>
      <c r="B6" s="46"/>
      <c r="C6" s="46"/>
      <c r="E6" s="11" t="s">
        <v>42</v>
      </c>
      <c r="F6" s="1">
        <v>1.7290359475315438E-2</v>
      </c>
      <c r="G6" s="24" t="s">
        <v>39</v>
      </c>
      <c r="H6" s="3">
        <f>tConverterDW2HW(F6, B4, B14, B9, B10, E6)</f>
        <v>142.17231635816881</v>
      </c>
    </row>
    <row r="7" spans="1:8" ht="15.75" thickBot="1" x14ac:dyDescent="0.3">
      <c r="A7" s="20" t="s">
        <v>11</v>
      </c>
      <c r="B7" s="20" t="s">
        <v>12</v>
      </c>
      <c r="C7" s="20" t="s">
        <v>13</v>
      </c>
    </row>
    <row r="8" spans="1:8" ht="15.75" thickTop="1" x14ac:dyDescent="0.25">
      <c r="A8" s="21" t="s">
        <v>7</v>
      </c>
      <c r="B8" s="15">
        <v>8</v>
      </c>
      <c r="C8" s="19" t="s">
        <v>8</v>
      </c>
      <c r="E8" s="58" t="s">
        <v>58</v>
      </c>
      <c r="F8" s="58"/>
      <c r="G8" s="58"/>
      <c r="H8" s="58"/>
    </row>
    <row r="9" spans="1:8" x14ac:dyDescent="0.25">
      <c r="A9" s="21" t="s">
        <v>31</v>
      </c>
      <c r="B9" s="1">
        <v>55</v>
      </c>
      <c r="C9" s="19" t="s">
        <v>32</v>
      </c>
      <c r="E9" s="56" t="s">
        <v>56</v>
      </c>
      <c r="F9" s="56"/>
      <c r="G9" s="56"/>
      <c r="H9" s="56"/>
    </row>
    <row r="10" spans="1:8" x14ac:dyDescent="0.25">
      <c r="A10" s="21" t="s">
        <v>33</v>
      </c>
      <c r="B10" s="1">
        <v>8</v>
      </c>
      <c r="C10" s="19" t="s">
        <v>34</v>
      </c>
      <c r="E10" s="57" t="s">
        <v>57</v>
      </c>
      <c r="F10" s="57"/>
      <c r="G10" s="57"/>
      <c r="H10" s="57"/>
    </row>
    <row r="12" spans="1:8" x14ac:dyDescent="0.25">
      <c r="A12" s="51" t="s">
        <v>21</v>
      </c>
      <c r="B12" s="51"/>
      <c r="C12" s="51"/>
    </row>
    <row r="13" spans="1:8" ht="15.75" thickBot="1" x14ac:dyDescent="0.3">
      <c r="A13" s="20" t="s">
        <v>11</v>
      </c>
      <c r="B13" s="20" t="s">
        <v>12</v>
      </c>
      <c r="C13" s="20" t="s">
        <v>13</v>
      </c>
    </row>
    <row r="14" spans="1:8" ht="15.75" thickTop="1" x14ac:dyDescent="0.25">
      <c r="A14" s="21" t="s">
        <v>28</v>
      </c>
      <c r="B14" s="17">
        <f>Reynolds(B8,B4,B9,B10)</f>
        <v>287413.57597460219</v>
      </c>
      <c r="C14" s="18" t="s">
        <v>9</v>
      </c>
    </row>
    <row r="17" spans="11:11" x14ac:dyDescent="0.25">
      <c r="K17" s="6"/>
    </row>
  </sheetData>
  <mergeCells count="8">
    <mergeCell ref="E1:H1"/>
    <mergeCell ref="A1:C1"/>
    <mergeCell ref="A2:C2"/>
    <mergeCell ref="A6:C6"/>
    <mergeCell ref="A12:C12"/>
    <mergeCell ref="E9:H9"/>
    <mergeCell ref="E10:H10"/>
    <mergeCell ref="E8:H8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20"/>
  <sheetViews>
    <sheetView workbookViewId="0">
      <selection activeCell="H8" sqref="H8"/>
    </sheetView>
  </sheetViews>
  <sheetFormatPr defaultRowHeight="15" x14ac:dyDescent="0.25"/>
  <cols>
    <col min="1" max="1" width="23.140625" bestFit="1" customWidth="1"/>
    <col min="2" max="2" width="11" bestFit="1" customWidth="1"/>
    <col min="3" max="3" width="5.5703125" bestFit="1" customWidth="1"/>
    <col min="5" max="5" width="31.7109375" bestFit="1" customWidth="1"/>
    <col min="6" max="6" width="12" bestFit="1" customWidth="1"/>
  </cols>
  <sheetData>
    <row r="1" spans="1:8" ht="40.5" customHeight="1" thickBot="1" x14ac:dyDescent="0.3">
      <c r="A1" s="48" t="s">
        <v>26</v>
      </c>
      <c r="B1" s="48"/>
      <c r="C1" s="48"/>
      <c r="E1" s="53" t="s">
        <v>62</v>
      </c>
      <c r="F1" s="54"/>
      <c r="G1" s="54"/>
      <c r="H1" s="54"/>
    </row>
    <row r="2" spans="1:8" ht="15.75" thickTop="1" x14ac:dyDescent="0.25">
      <c r="A2" s="50" t="s">
        <v>27</v>
      </c>
      <c r="B2" s="50"/>
      <c r="C2" s="50"/>
      <c r="E2" s="22" t="s">
        <v>59</v>
      </c>
      <c r="F2" s="27" t="s">
        <v>60</v>
      </c>
      <c r="G2" s="25" t="s">
        <v>39</v>
      </c>
      <c r="H2" s="26" t="s">
        <v>37</v>
      </c>
    </row>
    <row r="3" spans="1:8" ht="15.75" thickBot="1" x14ac:dyDescent="0.3">
      <c r="A3" s="20" t="s">
        <v>11</v>
      </c>
      <c r="B3" s="20" t="s">
        <v>12</v>
      </c>
      <c r="C3" s="20" t="s">
        <v>13</v>
      </c>
      <c r="E3" s="11" t="s">
        <v>54</v>
      </c>
      <c r="F3" s="1">
        <f>B5/B4</f>
        <v>1.4224751066856331E-3</v>
      </c>
      <c r="G3" s="24" t="s">
        <v>39</v>
      </c>
      <c r="H3" s="3">
        <f>tConverterRoughness(F3,E3)</f>
        <v>130.5060165809619</v>
      </c>
    </row>
    <row r="4" spans="1:8" ht="15.75" thickTop="1" x14ac:dyDescent="0.25">
      <c r="A4" s="21" t="s">
        <v>6</v>
      </c>
      <c r="B4" s="15">
        <v>70.3</v>
      </c>
      <c r="C4" s="19" t="s">
        <v>10</v>
      </c>
      <c r="G4" s="7"/>
    </row>
    <row r="5" spans="1:8" x14ac:dyDescent="0.25">
      <c r="A5" s="21" t="s">
        <v>0</v>
      </c>
      <c r="B5" s="16">
        <f>VLOOKUP(B4,zPipeCatalogue!C4:D14,2)</f>
        <v>0.1</v>
      </c>
      <c r="C5" s="19" t="s">
        <v>10</v>
      </c>
    </row>
    <row r="6" spans="1:8" x14ac:dyDescent="0.25">
      <c r="E6" s="22" t="s">
        <v>59</v>
      </c>
      <c r="F6" s="27" t="s">
        <v>37</v>
      </c>
      <c r="G6" s="25" t="s">
        <v>39</v>
      </c>
      <c r="H6" s="26" t="s">
        <v>45</v>
      </c>
    </row>
    <row r="7" spans="1:8" x14ac:dyDescent="0.25">
      <c r="A7" s="46" t="s">
        <v>30</v>
      </c>
      <c r="B7" s="46"/>
      <c r="C7" s="46"/>
      <c r="E7" s="11" t="s">
        <v>55</v>
      </c>
      <c r="F7" s="1">
        <f>H3</f>
        <v>130.5060165809619</v>
      </c>
      <c r="G7" s="24" t="s">
        <v>39</v>
      </c>
      <c r="H7" s="3">
        <f>tConverterRoughness(F7,E7)</f>
        <v>1.4937728864213536E-3</v>
      </c>
    </row>
    <row r="8" spans="1:8" ht="15.75" thickBot="1" x14ac:dyDescent="0.3">
      <c r="A8" s="20" t="s">
        <v>11</v>
      </c>
      <c r="B8" s="20" t="s">
        <v>12</v>
      </c>
      <c r="C8" s="20" t="s">
        <v>13</v>
      </c>
    </row>
    <row r="9" spans="1:8" ht="15.75" thickTop="1" x14ac:dyDescent="0.25">
      <c r="A9" s="21" t="s">
        <v>7</v>
      </c>
      <c r="B9" s="15">
        <v>8</v>
      </c>
      <c r="C9" s="19" t="s">
        <v>8</v>
      </c>
    </row>
    <row r="10" spans="1:8" x14ac:dyDescent="0.25">
      <c r="A10" s="21" t="s">
        <v>31</v>
      </c>
      <c r="B10" s="1">
        <v>55</v>
      </c>
      <c r="C10" s="19" t="s">
        <v>32</v>
      </c>
      <c r="E10" s="58" t="s">
        <v>58</v>
      </c>
      <c r="F10" s="58"/>
      <c r="G10" s="58"/>
      <c r="H10" s="58"/>
    </row>
    <row r="11" spans="1:8" x14ac:dyDescent="0.25">
      <c r="A11" s="21" t="s">
        <v>33</v>
      </c>
      <c r="B11" s="1">
        <v>8</v>
      </c>
      <c r="C11" s="19" t="s">
        <v>34</v>
      </c>
      <c r="E11" s="56" t="s">
        <v>61</v>
      </c>
      <c r="F11" s="56"/>
      <c r="G11" s="56"/>
      <c r="H11" s="56"/>
    </row>
    <row r="12" spans="1:8" x14ac:dyDescent="0.25">
      <c r="E12" s="57" t="s">
        <v>57</v>
      </c>
      <c r="F12" s="57"/>
      <c r="G12" s="57"/>
      <c r="H12" s="57"/>
    </row>
    <row r="13" spans="1:8" x14ac:dyDescent="0.25">
      <c r="A13" s="51" t="s">
        <v>21</v>
      </c>
      <c r="B13" s="51"/>
      <c r="C13" s="51"/>
    </row>
    <row r="14" spans="1:8" ht="15.75" thickBot="1" x14ac:dyDescent="0.3">
      <c r="A14" s="20" t="s">
        <v>11</v>
      </c>
      <c r="B14" s="20" t="s">
        <v>12</v>
      </c>
      <c r="C14" s="20" t="s">
        <v>13</v>
      </c>
    </row>
    <row r="15" spans="1:8" ht="15.75" thickTop="1" x14ac:dyDescent="0.25">
      <c r="A15" s="21" t="s">
        <v>28</v>
      </c>
      <c r="B15" s="17">
        <f>Reynolds(B9,B4,B10,B11)</f>
        <v>287413.57597460219</v>
      </c>
      <c r="C15" s="18" t="s">
        <v>9</v>
      </c>
    </row>
    <row r="17" spans="1:3" x14ac:dyDescent="0.25">
      <c r="A17" s="47" t="s">
        <v>29</v>
      </c>
      <c r="B17" s="47"/>
      <c r="C17" s="47"/>
    </row>
    <row r="18" spans="1:3" ht="15.75" thickBot="1" x14ac:dyDescent="0.3">
      <c r="A18" s="20" t="s">
        <v>11</v>
      </c>
      <c r="B18" s="20" t="s">
        <v>12</v>
      </c>
      <c r="C18" s="20" t="s">
        <v>13</v>
      </c>
    </row>
    <row r="19" spans="1:3" ht="15.75" thickTop="1" x14ac:dyDescent="0.25">
      <c r="A19" s="21" t="s">
        <v>22</v>
      </c>
      <c r="B19" s="1">
        <v>1.0000000000000001E-5</v>
      </c>
      <c r="C19" s="18" t="s">
        <v>9</v>
      </c>
    </row>
    <row r="20" spans="1:3" x14ac:dyDescent="0.25">
      <c r="A20" s="21" t="s">
        <v>23</v>
      </c>
      <c r="B20" s="1">
        <v>1000000000</v>
      </c>
      <c r="C20" s="18" t="s">
        <v>9</v>
      </c>
    </row>
  </sheetData>
  <mergeCells count="9">
    <mergeCell ref="A13:C13"/>
    <mergeCell ref="A17:C17"/>
    <mergeCell ref="E1:H1"/>
    <mergeCell ref="E10:H10"/>
    <mergeCell ref="E11:H11"/>
    <mergeCell ref="E12:H12"/>
    <mergeCell ref="A1:C1"/>
    <mergeCell ref="A2:C2"/>
    <mergeCell ref="A7:C7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4"/>
  <sheetViews>
    <sheetView workbookViewId="0">
      <selection activeCell="E5" sqref="E5"/>
    </sheetView>
  </sheetViews>
  <sheetFormatPr defaultRowHeight="15" x14ac:dyDescent="0.25"/>
  <cols>
    <col min="1" max="1" width="9.7109375" bestFit="1" customWidth="1"/>
    <col min="2" max="2" width="17.5703125" bestFit="1" customWidth="1"/>
    <col min="3" max="3" width="14.5703125" bestFit="1" customWidth="1"/>
    <col min="4" max="4" width="14" bestFit="1" customWidth="1"/>
    <col min="5" max="5" width="11.28515625" bestFit="1" customWidth="1"/>
  </cols>
  <sheetData>
    <row r="1" spans="1:5" x14ac:dyDescent="0.25">
      <c r="A1" s="61" t="s">
        <v>14</v>
      </c>
      <c r="B1" s="61"/>
      <c r="C1" s="61"/>
      <c r="D1" s="61"/>
      <c r="E1" s="61"/>
    </row>
    <row r="2" spans="1:5" ht="30" x14ac:dyDescent="0.25">
      <c r="A2" s="9" t="s">
        <v>15</v>
      </c>
      <c r="B2" s="9" t="s">
        <v>20</v>
      </c>
      <c r="C2" s="9" t="s">
        <v>6</v>
      </c>
      <c r="D2" s="10" t="s">
        <v>18</v>
      </c>
      <c r="E2" s="9" t="s">
        <v>15</v>
      </c>
    </row>
    <row r="3" spans="1:5" x14ac:dyDescent="0.25">
      <c r="A3" s="12" t="s">
        <v>9</v>
      </c>
      <c r="B3" s="13" t="s">
        <v>19</v>
      </c>
      <c r="C3" s="13" t="s">
        <v>19</v>
      </c>
      <c r="D3" s="14" t="s">
        <v>19</v>
      </c>
      <c r="E3" s="23" t="s">
        <v>9</v>
      </c>
    </row>
    <row r="4" spans="1:5" x14ac:dyDescent="0.25">
      <c r="A4" s="1" t="s">
        <v>16</v>
      </c>
      <c r="B4" s="1">
        <v>14</v>
      </c>
      <c r="C4" s="2">
        <v>10</v>
      </c>
      <c r="D4" s="1">
        <v>0.01</v>
      </c>
      <c r="E4" s="35" t="str">
        <f>A4&amp;" - "&amp;B4</f>
        <v>AluFlex - 14</v>
      </c>
    </row>
    <row r="5" spans="1:5" x14ac:dyDescent="0.25">
      <c r="A5" s="1" t="s">
        <v>16</v>
      </c>
      <c r="B5" s="1">
        <v>16</v>
      </c>
      <c r="C5" s="2">
        <v>11.6</v>
      </c>
      <c r="D5" s="1">
        <v>0.01</v>
      </c>
      <c r="E5" s="35" t="str">
        <f t="shared" ref="E5:E14" si="0">A5&amp;" - "&amp;B5</f>
        <v>AluFlex - 16</v>
      </c>
    </row>
    <row r="6" spans="1:5" x14ac:dyDescent="0.25">
      <c r="A6" s="1" t="s">
        <v>16</v>
      </c>
      <c r="B6" s="1">
        <v>20</v>
      </c>
      <c r="C6" s="2">
        <v>15</v>
      </c>
      <c r="D6" s="1">
        <v>0.01</v>
      </c>
      <c r="E6" s="35" t="str">
        <f t="shared" si="0"/>
        <v>AluFlex - 20</v>
      </c>
    </row>
    <row r="7" spans="1:5" x14ac:dyDescent="0.25">
      <c r="A7" s="1" t="s">
        <v>16</v>
      </c>
      <c r="B7" s="1">
        <v>26</v>
      </c>
      <c r="C7" s="2">
        <v>20</v>
      </c>
      <c r="D7" s="1">
        <v>0.01</v>
      </c>
      <c r="E7" s="35" t="str">
        <f t="shared" si="0"/>
        <v>AluFlex - 26</v>
      </c>
    </row>
    <row r="8" spans="1:5" x14ac:dyDescent="0.25">
      <c r="A8" s="1" t="s">
        <v>16</v>
      </c>
      <c r="B8" s="1">
        <v>32</v>
      </c>
      <c r="C8" s="2">
        <v>26</v>
      </c>
      <c r="D8" s="1">
        <v>0.01</v>
      </c>
      <c r="E8" s="35" t="str">
        <f t="shared" si="0"/>
        <v>AluFlex - 32</v>
      </c>
    </row>
    <row r="9" spans="1:5" x14ac:dyDescent="0.25">
      <c r="A9" s="1" t="s">
        <v>17</v>
      </c>
      <c r="B9" s="1">
        <v>25</v>
      </c>
      <c r="C9" s="2">
        <v>28.500000000000004</v>
      </c>
      <c r="D9" s="1">
        <v>0.1</v>
      </c>
      <c r="E9" s="35" t="str">
        <f t="shared" si="0"/>
        <v>Steel - 25</v>
      </c>
    </row>
    <row r="10" spans="1:5" x14ac:dyDescent="0.25">
      <c r="A10" s="1" t="s">
        <v>17</v>
      </c>
      <c r="B10" s="1">
        <v>32</v>
      </c>
      <c r="C10" s="2">
        <v>37.199999999999996</v>
      </c>
      <c r="D10" s="1">
        <v>0.1</v>
      </c>
      <c r="E10" s="35" t="str">
        <f t="shared" si="0"/>
        <v>Steel - 32</v>
      </c>
    </row>
    <row r="11" spans="1:5" x14ac:dyDescent="0.25">
      <c r="A11" s="1" t="s">
        <v>17</v>
      </c>
      <c r="B11" s="1">
        <v>40</v>
      </c>
      <c r="C11" s="2">
        <v>43.099999999999994</v>
      </c>
      <c r="D11" s="1">
        <v>0.1</v>
      </c>
      <c r="E11" s="35" t="str">
        <f t="shared" si="0"/>
        <v>Steel - 40</v>
      </c>
    </row>
    <row r="12" spans="1:5" x14ac:dyDescent="0.25">
      <c r="A12" s="1" t="s">
        <v>17</v>
      </c>
      <c r="B12" s="1">
        <v>50</v>
      </c>
      <c r="C12" s="2">
        <v>54.5</v>
      </c>
      <c r="D12" s="1">
        <v>0.1</v>
      </c>
      <c r="E12" s="35" t="str">
        <f t="shared" si="0"/>
        <v>Steel - 50</v>
      </c>
    </row>
    <row r="13" spans="1:5" x14ac:dyDescent="0.25">
      <c r="A13" s="1" t="s">
        <v>17</v>
      </c>
      <c r="B13" s="1">
        <v>65</v>
      </c>
      <c r="C13" s="2">
        <v>70.3</v>
      </c>
      <c r="D13" s="1">
        <v>0.1</v>
      </c>
      <c r="E13" s="35" t="str">
        <f t="shared" si="0"/>
        <v>Steel - 65</v>
      </c>
    </row>
    <row r="14" spans="1:5" x14ac:dyDescent="0.25">
      <c r="A14" s="1" t="s">
        <v>17</v>
      </c>
      <c r="B14" s="1">
        <v>80</v>
      </c>
      <c r="C14" s="2">
        <v>82.5</v>
      </c>
      <c r="D14" s="1">
        <v>0.1</v>
      </c>
      <c r="E14" s="35" t="str">
        <f t="shared" si="0"/>
        <v>Steel - 80</v>
      </c>
    </row>
  </sheetData>
  <mergeCells count="1">
    <mergeCell ref="A1:E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F20"/>
  <sheetViews>
    <sheetView workbookViewId="0">
      <selection activeCell="F24" sqref="F24"/>
    </sheetView>
  </sheetViews>
  <sheetFormatPr defaultRowHeight="15" x14ac:dyDescent="0.25"/>
  <cols>
    <col min="6" max="6" width="18.85546875" bestFit="1" customWidth="1"/>
    <col min="7" max="7" width="9.7109375" bestFit="1" customWidth="1"/>
  </cols>
  <sheetData>
    <row r="1" spans="1:6" x14ac:dyDescent="0.25">
      <c r="A1" s="62" t="s">
        <v>51</v>
      </c>
      <c r="B1" s="62"/>
      <c r="C1" s="62"/>
      <c r="D1" s="62"/>
      <c r="E1" s="33"/>
    </row>
    <row r="2" spans="1:6" ht="31.5" x14ac:dyDescent="0.35">
      <c r="A2" s="8" t="s">
        <v>45</v>
      </c>
      <c r="B2" s="8" t="s">
        <v>37</v>
      </c>
      <c r="C2" s="8" t="s">
        <v>43</v>
      </c>
      <c r="D2" s="8" t="s">
        <v>44</v>
      </c>
      <c r="E2" t="s">
        <v>46</v>
      </c>
      <c r="F2" s="34" t="s">
        <v>52</v>
      </c>
    </row>
    <row r="3" spans="1:6" x14ac:dyDescent="0.25">
      <c r="A3" s="1">
        <v>0.02</v>
      </c>
      <c r="B3" s="1">
        <v>100</v>
      </c>
      <c r="C3" s="1">
        <v>2000</v>
      </c>
      <c r="D3" s="1">
        <v>5000</v>
      </c>
      <c r="E3" s="2">
        <f t="shared" ref="E3:E16" si="0">-147.120418481659*A3^0.168899561932556+179.126967041124</f>
        <v>103.14375262877519</v>
      </c>
      <c r="F3" s="3">
        <f t="shared" ref="F3:F16" si="1">Linterp(maxRe_Data,Cmod_Data,E3)</f>
        <v>5000</v>
      </c>
    </row>
    <row r="4" spans="1:6" x14ac:dyDescent="0.25">
      <c r="A4" s="1">
        <v>1.4999999999999999E-2</v>
      </c>
      <c r="B4" s="1">
        <v>110</v>
      </c>
      <c r="C4" s="1">
        <v>2000</v>
      </c>
      <c r="D4" s="1">
        <v>7500</v>
      </c>
      <c r="E4" s="2">
        <f t="shared" si="0"/>
        <v>106.74746944716061</v>
      </c>
      <c r="F4" s="3">
        <f t="shared" si="1"/>
        <v>7500</v>
      </c>
    </row>
    <row r="5" spans="1:6" x14ac:dyDescent="0.25">
      <c r="A5" s="1">
        <v>0.01</v>
      </c>
      <c r="B5" s="1">
        <v>110</v>
      </c>
      <c r="C5" s="1">
        <v>2000</v>
      </c>
      <c r="D5" s="1">
        <v>10000</v>
      </c>
      <c r="E5" s="2">
        <f t="shared" si="0"/>
        <v>111.53830837613782</v>
      </c>
      <c r="F5" s="3">
        <f t="shared" si="1"/>
        <v>10000</v>
      </c>
    </row>
    <row r="6" spans="1:6" x14ac:dyDescent="0.25">
      <c r="A6" s="1">
        <v>6.0000000000000001E-3</v>
      </c>
      <c r="B6" s="1">
        <v>120</v>
      </c>
      <c r="C6" s="1">
        <v>4000</v>
      </c>
      <c r="D6" s="1">
        <v>20000</v>
      </c>
      <c r="E6" s="2">
        <f t="shared" si="0"/>
        <v>117.12525652292474</v>
      </c>
      <c r="F6" s="3">
        <f t="shared" si="1"/>
        <v>20000</v>
      </c>
    </row>
    <row r="7" spans="1:6" x14ac:dyDescent="0.25">
      <c r="A7" s="1">
        <v>4.0000000000000001E-3</v>
      </c>
      <c r="B7" s="1">
        <v>120</v>
      </c>
      <c r="C7" s="1">
        <v>8000</v>
      </c>
      <c r="D7" s="1">
        <v>25000</v>
      </c>
      <c r="E7" s="2">
        <f t="shared" si="0"/>
        <v>121.22918399255309</v>
      </c>
      <c r="F7" s="3">
        <f t="shared" si="1"/>
        <v>25000</v>
      </c>
    </row>
    <row r="8" spans="1:6" x14ac:dyDescent="0.25">
      <c r="A8" s="1">
        <v>2E-3</v>
      </c>
      <c r="B8" s="1">
        <v>130</v>
      </c>
      <c r="C8" s="1">
        <v>10000</v>
      </c>
      <c r="D8" s="1">
        <v>40000</v>
      </c>
      <c r="E8" s="2">
        <f t="shared" si="0"/>
        <v>127.6256778920129</v>
      </c>
      <c r="F8" s="3">
        <f t="shared" si="1"/>
        <v>40000</v>
      </c>
    </row>
    <row r="9" spans="1:6" x14ac:dyDescent="0.25">
      <c r="A9" s="1">
        <v>1E-3</v>
      </c>
      <c r="B9" s="1">
        <v>130</v>
      </c>
      <c r="C9" s="1">
        <v>20000</v>
      </c>
      <c r="D9" s="1">
        <v>100000</v>
      </c>
      <c r="E9" s="2">
        <f t="shared" si="0"/>
        <v>133.31549301982611</v>
      </c>
      <c r="F9" s="3">
        <f t="shared" si="1"/>
        <v>100000</v>
      </c>
    </row>
    <row r="10" spans="1:6" x14ac:dyDescent="0.25">
      <c r="A10" s="1">
        <v>5.9999999999999995E-4</v>
      </c>
      <c r="B10" s="1">
        <v>140</v>
      </c>
      <c r="C10" s="1">
        <v>30000</v>
      </c>
      <c r="D10" s="1">
        <v>150000</v>
      </c>
      <c r="E10" s="2">
        <f t="shared" si="0"/>
        <v>137.10231665178344</v>
      </c>
      <c r="F10" s="3">
        <f t="shared" si="1"/>
        <v>150000</v>
      </c>
    </row>
    <row r="11" spans="1:6" x14ac:dyDescent="0.25">
      <c r="A11" s="1">
        <v>4.0000000000000002E-4</v>
      </c>
      <c r="B11" s="1">
        <v>140</v>
      </c>
      <c r="C11" s="1">
        <v>40000</v>
      </c>
      <c r="D11" s="1">
        <v>200000</v>
      </c>
      <c r="E11" s="2">
        <f t="shared" si="0"/>
        <v>139.88395147593425</v>
      </c>
      <c r="F11" s="3">
        <f t="shared" si="1"/>
        <v>200000</v>
      </c>
    </row>
    <row r="12" spans="1:6" x14ac:dyDescent="0.25">
      <c r="A12" s="1">
        <v>2.0000000000000001E-4</v>
      </c>
      <c r="B12" s="1">
        <v>140</v>
      </c>
      <c r="C12" s="1">
        <v>60000</v>
      </c>
      <c r="D12" s="1">
        <v>400000</v>
      </c>
      <c r="E12" s="2">
        <f t="shared" si="0"/>
        <v>144.21948379586027</v>
      </c>
      <c r="F12" s="3">
        <f t="shared" si="1"/>
        <v>400000</v>
      </c>
    </row>
    <row r="13" spans="1:6" x14ac:dyDescent="0.25">
      <c r="A13" s="1">
        <v>1E-4</v>
      </c>
      <c r="B13" s="1">
        <v>150</v>
      </c>
      <c r="C13" s="1">
        <v>80000</v>
      </c>
      <c r="D13" s="1">
        <v>800000</v>
      </c>
      <c r="E13" s="2">
        <f t="shared" si="0"/>
        <v>148.07603048671558</v>
      </c>
      <c r="F13" s="3">
        <f t="shared" si="1"/>
        <v>800000</v>
      </c>
    </row>
    <row r="14" spans="1:6" x14ac:dyDescent="0.25">
      <c r="A14" s="29">
        <v>5.0000000000000002E-5</v>
      </c>
      <c r="B14" s="1">
        <v>150</v>
      </c>
      <c r="C14" s="1">
        <v>100000</v>
      </c>
      <c r="D14" s="1">
        <v>1000000</v>
      </c>
      <c r="E14" s="2">
        <f t="shared" si="0"/>
        <v>151.50650944091259</v>
      </c>
      <c r="F14" s="3">
        <f t="shared" si="1"/>
        <v>1000000</v>
      </c>
    </row>
    <row r="15" spans="1:6" x14ac:dyDescent="0.25">
      <c r="A15" s="29">
        <v>1.0000000000000001E-5</v>
      </c>
      <c r="B15" s="1">
        <v>160</v>
      </c>
      <c r="C15" s="1">
        <v>400000</v>
      </c>
      <c r="D15" s="1">
        <v>4000000</v>
      </c>
      <c r="E15" s="2">
        <f t="shared" si="0"/>
        <v>158.08069683253706</v>
      </c>
      <c r="F15" s="3">
        <f t="shared" si="1"/>
        <v>4000000</v>
      </c>
    </row>
    <row r="16" spans="1:6" x14ac:dyDescent="0.25">
      <c r="A16" s="29">
        <v>5.0000000000000004E-6</v>
      </c>
      <c r="B16" s="1">
        <v>160</v>
      </c>
      <c r="C16" s="1">
        <v>6000000</v>
      </c>
      <c r="D16" s="1">
        <v>20000000</v>
      </c>
      <c r="E16" s="2">
        <f t="shared" si="0"/>
        <v>160.40586943686066</v>
      </c>
      <c r="F16" s="3">
        <f t="shared" si="1"/>
        <v>20000000</v>
      </c>
    </row>
    <row r="17" spans="1:6" x14ac:dyDescent="0.25">
      <c r="A17" s="30" t="s">
        <v>49</v>
      </c>
    </row>
    <row r="18" spans="1:6" x14ac:dyDescent="0.25">
      <c r="A18" s="63" t="s">
        <v>50</v>
      </c>
      <c r="B18" s="64"/>
      <c r="C18" s="64"/>
      <c r="D18" s="64"/>
      <c r="E18" s="64"/>
      <c r="F18" s="64"/>
    </row>
    <row r="19" spans="1:6" x14ac:dyDescent="0.25">
      <c r="A19" s="30" t="s">
        <v>47</v>
      </c>
    </row>
    <row r="20" spans="1:6" x14ac:dyDescent="0.25">
      <c r="A20" s="32" t="s">
        <v>48</v>
      </c>
    </row>
  </sheetData>
  <mergeCells count="2">
    <mergeCell ref="A1:D1"/>
    <mergeCell ref="A18:F18"/>
  </mergeCells>
  <hyperlinks>
    <hyperlink ref="A20" r:id="rId1" location="Tutorial "/>
  </hyperlinks>
  <pageMargins left="0.7" right="0.7" top="0.75" bottom="0.75" header="0.3" footer="0.3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</vt:i4>
      </vt:variant>
    </vt:vector>
  </HeadingPairs>
  <TitlesOfParts>
    <vt:vector size="11" baseType="lpstr">
      <vt:lpstr>PressureLossCalculator</vt:lpstr>
      <vt:lpstr>DarcyFrictionAlgorithms</vt:lpstr>
      <vt:lpstr>Converter_f2C</vt:lpstr>
      <vt:lpstr>Converter_Roughness</vt:lpstr>
      <vt:lpstr>zPipeCatalogue</vt:lpstr>
      <vt:lpstr>zDiskinData</vt:lpstr>
      <vt:lpstr>C_Data</vt:lpstr>
      <vt:lpstr>Cmod_Data</vt:lpstr>
      <vt:lpstr>maxRe_Data</vt:lpstr>
      <vt:lpstr>minRe_Data</vt:lpstr>
      <vt:lpstr>rRou_Data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WorldsInWorld</dc:creator>
  <cp:lastModifiedBy>WorldsInWorld</cp:lastModifiedBy>
  <dcterms:created xsi:type="dcterms:W3CDTF">2018-04-05T18:47:09Z</dcterms:created>
  <dcterms:modified xsi:type="dcterms:W3CDTF">2018-04-07T23:23:33Z</dcterms:modified>
</cp:coreProperties>
</file>